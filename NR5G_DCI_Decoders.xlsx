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7\EXCELCNV\6ad4e8f7-106f-4c24-a136-c188eafde84e\"/>
    </mc:Choice>
  </mc:AlternateContent>
  <xr:revisionPtr revIDLastSave="3" documentId="8_{15CF18AC-9316-4C10-BD2F-90EFBDAF1490}" xr6:coauthVersionLast="47" xr6:coauthVersionMax="47" xr10:uidLastSave="{E0396EE5-6311-4606-B9F1-BF7D82AFC59E}"/>
  <bookViews>
    <workbookView xWindow="-60" yWindow="-60" windowWidth="15480" windowHeight="11640" firstSheet="2" activeTab="2" xr2:uid="{18C6F60F-7B54-4270-B0F2-28C7070C7B1F}"/>
  </bookViews>
  <sheets>
    <sheet name="NR5G_DCI_0_1_Decoder(UL_DCI)" sheetId="5" r:id="rId1"/>
    <sheet name="NR5G_DCI_1_1_Decoder(DL_DCI)" sheetId="6" r:id="rId2"/>
    <sheet name="DCI_Fields" sheetId="4" r:id="rId3"/>
  </sheets>
  <definedNames>
    <definedName name="_xlnm._FilterDatabase" localSheetId="2" hidden="1">DCI_Fields!$C$3:$H$3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6" l="1"/>
  <c r="F22" i="6"/>
  <c r="C23" i="6"/>
  <c r="F20" i="6"/>
  <c r="F19" i="6"/>
  <c r="F18" i="6"/>
  <c r="F17" i="6"/>
  <c r="F16" i="6"/>
  <c r="F15" i="6"/>
  <c r="F14" i="6"/>
  <c r="F13" i="6"/>
  <c r="F12" i="6"/>
  <c r="F11" i="6"/>
  <c r="F10" i="6"/>
  <c r="B7" i="6" a="1"/>
  <c r="B7" i="6" s="1"/>
  <c r="F11" i="5"/>
  <c r="F12" i="5"/>
  <c r="F13" i="5"/>
  <c r="F14" i="5"/>
  <c r="F15" i="5"/>
  <c r="F16" i="5"/>
  <c r="F17" i="5"/>
  <c r="F18" i="5"/>
  <c r="F19" i="5"/>
  <c r="F20" i="5"/>
  <c r="F21" i="5"/>
  <c r="F10" i="5"/>
  <c r="B7" i="5" a="1"/>
  <c r="B7" i="5" s="1"/>
  <c r="C22" i="5"/>
  <c r="F29" i="4"/>
  <c r="G22" i="6" l="1"/>
  <c r="E22" i="6" s="1"/>
  <c r="G21" i="6"/>
  <c r="E21" i="6" s="1"/>
  <c r="G20" i="6"/>
  <c r="E20" i="6" s="1"/>
  <c r="G19" i="6"/>
  <c r="E19" i="6" s="1"/>
  <c r="G18" i="6"/>
  <c r="E18" i="6" s="1"/>
  <c r="G17" i="6"/>
  <c r="E17" i="6" s="1"/>
  <c r="G16" i="6"/>
  <c r="E16" i="6" s="1"/>
  <c r="G15" i="6"/>
  <c r="E15" i="6" s="1"/>
  <c r="G14" i="6"/>
  <c r="E14" i="6" s="1"/>
  <c r="G13" i="6"/>
  <c r="E13" i="6" s="1"/>
  <c r="G12" i="6"/>
  <c r="E12" i="6" s="1"/>
  <c r="G11" i="6"/>
  <c r="E11" i="6" s="1"/>
  <c r="G10" i="6"/>
  <c r="E10" i="6" s="1" a="1"/>
  <c r="E10" i="6" s="1"/>
  <c r="H10" i="6" s="1"/>
  <c r="G9" i="6"/>
  <c r="E9" i="6" s="1"/>
  <c r="G10" i="5"/>
  <c r="E10" i="5" s="1" a="1"/>
  <c r="E10" i="5" s="1"/>
  <c r="H10" i="5" s="1"/>
  <c r="G9" i="5"/>
  <c r="E9" i="5" s="1"/>
  <c r="G21" i="5"/>
  <c r="E21" i="5" s="1"/>
  <c r="G20" i="5"/>
  <c r="E20" i="5" s="1"/>
  <c r="G19" i="5"/>
  <c r="E19" i="5" s="1"/>
  <c r="G18" i="5"/>
  <c r="E18" i="5" s="1"/>
  <c r="G17" i="5"/>
  <c r="E17" i="5" s="1"/>
  <c r="G16" i="5"/>
  <c r="E16" i="5" s="1"/>
  <c r="G15" i="5"/>
  <c r="E15" i="5" s="1"/>
  <c r="G14" i="5"/>
  <c r="E14" i="5" s="1"/>
  <c r="G13" i="5"/>
  <c r="E13" i="5" s="1"/>
  <c r="G12" i="5"/>
  <c r="E12" i="5" s="1"/>
  <c r="G11" i="5"/>
  <c r="E1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<sst xmlns="http://schemas.openxmlformats.org/spreadsheetml/2006/main" count="124" uniqueCount="101">
  <si>
    <r>
      <rPr>
        <b/>
        <sz val="11"/>
        <color rgb="FFFF0000"/>
        <rFont val="Calibri"/>
      </rPr>
      <t xml:space="preserve">Instructions To Use:
</t>
    </r>
    <r>
      <rPr>
        <sz val="11"/>
        <color rgb="FF000000"/>
        <rFont val="Calibri"/>
      </rPr>
      <t>1. At Column C edit the number of bits as per Config. Mainly Time Domain Resource to be edited &lt;as per rrc Setup pusch TD resources Config&gt;
2. Paste the Hex payload at Cell A7
3. Decoded results will be displayed in Decimal, Binary and hex in COL E, G and H respectively</t>
    </r>
  </si>
  <si>
    <t>01 10 f4 05 a8 40</t>
  </si>
  <si>
    <t>Bits(Editable)</t>
  </si>
  <si>
    <t>Field</t>
  </si>
  <si>
    <t>Decimal</t>
  </si>
  <si>
    <t>StartBit</t>
  </si>
  <si>
    <t>Binary</t>
  </si>
  <si>
    <t>HexValue</t>
  </si>
  <si>
    <t>DCI Format</t>
  </si>
  <si>
    <t>Frequency_Domain_resources</t>
  </si>
  <si>
    <t>Time_Domain_resources</t>
  </si>
  <si>
    <t>Modulatio_Order</t>
  </si>
  <si>
    <t>NDI</t>
  </si>
  <si>
    <t>RV</t>
  </si>
  <si>
    <t>HQ_PID</t>
  </si>
  <si>
    <t>DAI</t>
  </si>
  <si>
    <t>tpc_command</t>
  </si>
  <si>
    <t>antenna_ports</t>
  </si>
  <si>
    <t>srs_request</t>
  </si>
  <si>
    <t>dmrs_seq_init</t>
  </si>
  <si>
    <t>ul_sch_indicator</t>
  </si>
  <si>
    <t>Total DCI Bits:</t>
  </si>
  <si>
    <r>
      <rPr>
        <b/>
        <sz val="11"/>
        <color rgb="FFFF0000"/>
        <rFont val="Calibri"/>
      </rPr>
      <t xml:space="preserve">Instructions To Use:
</t>
    </r>
    <r>
      <rPr>
        <sz val="11"/>
        <color rgb="FF000000"/>
        <rFont val="Calibri"/>
      </rPr>
      <t>1. At Column C edit the number of bits as per Config. Mainly Time Domain Resource to be edited &lt;as per rrc Setup pusch TD resources Config&gt;
2. Paste the Hex payload at Cell A7
3. Decoded results will be displayed in Decimal, Binary and hex in Column E, G and H respectively</t>
    </r>
  </si>
  <si>
    <t xml:space="preserve">D':                 </t>
  </si>
  <si>
    <t xml:space="preserve">FreqDomain Rsrc':   </t>
  </si>
  <si>
    <t xml:space="preserve">TimeDomain Rsrc':   </t>
  </si>
  <si>
    <t xml:space="preserve">MCS':               </t>
  </si>
  <si>
    <t xml:space="preserve">NDI':               </t>
  </si>
  <si>
    <t xml:space="preserve">RV_INDX':           </t>
  </si>
  <si>
    <t xml:space="preserve">HARQ PROC ID':      </t>
  </si>
  <si>
    <t xml:space="preserve">DAI':               </t>
  </si>
  <si>
    <t xml:space="preserve">TPC':               </t>
  </si>
  <si>
    <t xml:space="preserve">PUCCH_RI':          </t>
  </si>
  <si>
    <t xml:space="preserve">K1':                </t>
  </si>
  <si>
    <t xml:space="preserve">Antenna':           </t>
  </si>
  <si>
    <t xml:space="preserve">SRS':               </t>
  </si>
  <si>
    <t xml:space="preserve">DMRS':              </t>
  </si>
  <si>
    <t>Spec: 28.212 Rel 15.13.0 (Section 7.3.1.1.2 DCI Format 0_1)</t>
  </si>
  <si>
    <t> </t>
  </si>
  <si>
    <t>Bits</t>
  </si>
  <si>
    <t>- Identifier for DCI formats – 1 bit</t>
  </si>
  <si>
    <t>dciSize += 1 /* Identifier  for DCI format */ + \</t>
  </si>
  <si>
    <t>Carrier indicator – 0 or 3 bits</t>
  </si>
  <si>
    <t>0 /* Carrier Indicator field 0 or 3 Bits */ + \</t>
  </si>
  <si>
    <t>UL/SUL indicator – 0 bit</t>
  </si>
  <si>
    <t>sulBit /* SUL Indicator */ + \</t>
  </si>
  <si>
    <t>Bandwidth part indicator – 0, 1 or 2 bits</t>
  </si>
  <si>
    <t>sCellInfo-&gt;ue-&gt;ulBwpInfo-&gt;ulBwpIndctrBitWidth /* BWP Indicator */ + \</t>
  </si>
  <si>
    <t>Frequency domain resource assignment</t>
  </si>
  <si>
    <t>rb_alloc=0x440</t>
  </si>
  <si>
    <t>freqDomRAAssgnBitWidth /* FreqDom ResAssgn BitLen */ + \</t>
  </si>
  <si>
    <t>Time domain resource assignment – 0, 1, 2, 3, or 4 bits</t>
  </si>
  <si>
    <t>time_domain_rsc=7</t>
  </si>
  <si>
    <t>timeDomainRASzBitLen /* TimeDomResAssignment Bit Len */ + \</t>
  </si>
  <si>
    <t>Frequency hopping flag – 0 or 1 bit:</t>
  </si>
  <si>
    <t>freqHopBit /* Freq Hoping Flag */+ \</t>
  </si>
  <si>
    <t>Modulation and coding scheme – 5 bits</t>
  </si>
  <si>
    <t>mcs=0</t>
  </si>
  <si>
    <t>5 /* MCS for TB1 */+ \</t>
  </si>
  <si>
    <t>New data indicator – 1 bit</t>
  </si>
  <si>
    <t>ndi=0</t>
  </si>
  <si>
    <t>1 /* NDI for TB1 */+ \</t>
  </si>
  <si>
    <t>Redundancy version – 2 bits</t>
  </si>
  <si>
    <t>rv_idx=0</t>
  </si>
  <si>
    <t>2 /* RV for TB1 */+ \</t>
  </si>
  <si>
    <t>HARQ process number – 4 bits</t>
  </si>
  <si>
    <t>harq_process=0</t>
  </si>
  <si>
    <t>4 /* HARQ proc Id */+ \</t>
  </si>
  <si>
    <t>1st downlink assignment index – 1 or 2 bits</t>
  </si>
  <si>
    <t>dai=3</t>
  </si>
  <si>
    <t>daiBits /* Bits: First DAI */+ \</t>
  </si>
  <si>
    <t>2nd downlink assignment index – 0 or 2 bits:</t>
  </si>
  <si>
    <t>0 /* TBD: 0/2 Bits: Second DAI */+ \</t>
  </si>
  <si>
    <t>TPC command for scheduled PUSCH – 2 bits</t>
  </si>
  <si>
    <t>tpc_command=1</t>
  </si>
  <si>
    <t>2 /* TPC for PUSCH  */+ \</t>
  </si>
  <si>
    <t>SRS resource indicator   log 2 SRS log N bits</t>
  </si>
  <si>
    <t>numSRIBits /* TBD: SRI: SRS Resource Indicator*/+ \</t>
  </si>
  <si>
    <t>Precoding information and number of layers</t>
  </si>
  <si>
    <t>preCodingNumLyrsBits /* Precoding information and numLyr */+ \</t>
  </si>
  <si>
    <t>Antenna ports –</t>
  </si>
  <si>
    <t>antenna_ports=2</t>
  </si>
  <si>
    <t>bwp-&gt;puschInfo.maxAntPortBitWidthLen /* Antenna Ports */+ \</t>
  </si>
  <si>
    <t>SRS request – 2 bits</t>
  </si>
  <si>
    <t>srs_request=0</t>
  </si>
  <si>
    <t>srsReqBits /* SRS Request */+ \</t>
  </si>
  <si>
    <t>CSI request – 0, 1, 2, 3, 4, 5, or 6 bits</t>
  </si>
  <si>
    <t>csiReqBits /* CSI Request */+ \</t>
  </si>
  <si>
    <t>CBG transmission information (CBGTI) – 0 bit</t>
  </si>
  <si>
    <t>cbgTxBits /* CBG Transmission Information */+ \</t>
  </si>
  <si>
    <t>PTRS-DMRS association</t>
  </si>
  <si>
    <t>ptrsBits /* PT-RS and DMRS Assiciation info */+ \</t>
  </si>
  <si>
    <t>beta_offset indicator – 0</t>
  </si>
  <si>
    <t>betaBits /* Beta Offset indicator when uci-on-PUSCH */+ \</t>
  </si>
  <si>
    <t>DMRS sequence initialization – 0 bit if transform precoder is enabled; 1 bit if transform precoder is disabled.</t>
  </si>
  <si>
    <t>dmrs_seq_init=0</t>
  </si>
  <si>
    <t>dmrsBits /* DMRS Sequence Initialization */ + \</t>
  </si>
  <si>
    <t>UL-SCH indicator – 1 bit</t>
  </si>
  <si>
    <t>ul_sch_indicator=1</t>
  </si>
  <si>
    <t>1  /*UL-SCH indicator*/;</t>
  </si>
  <si>
    <t>Total Bits: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</si>
</sst>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539D-F9F4-43B8-9C51-AD9DDFB86EAB}">
  <dimension ref="A1:H22"/>
  <sheetViews>
    <sheetView workbookViewId="0">
      <selection activeCell="B23" sqref="B23"/>
    </sheetView>
  </sheetViews>
  <sheetFormatPr defaultColWidth="36" defaultRowHeight="15"/>
  <cols>
    <col min="1" max="1" width="36" style="8"/>
    <col min="2" max="2" width="69.5703125" style="8" customWidth="1"/>
    <col min="3" max="3" width="28.28515625" style="8" customWidth="1"/>
    <col min="4" max="4" width="29.140625" style="8" customWidth="1"/>
    <col min="5" max="5" width="11.85546875" style="8" customWidth="1"/>
    <col min="6" max="6" width="20.42578125" style="8" customWidth="1"/>
    <col min="7" max="7" width="23" style="8" customWidth="1"/>
    <col min="8" max="8" width="21" style="8" customWidth="1"/>
    <col min="9" max="9" width="10.7109375" style="8" customWidth="1"/>
    <col min="10" max="16384" width="36" style="8"/>
  </cols>
  <sheetData>
    <row r="1" spans="1:8">
      <c r="A1" s="24" t="s">
        <v>0</v>
      </c>
      <c r="B1" s="25"/>
      <c r="C1" s="25"/>
    </row>
    <row r="2" spans="1:8">
      <c r="A2" s="25"/>
      <c r="B2" s="25"/>
      <c r="C2" s="25"/>
    </row>
    <row r="3" spans="1:8">
      <c r="A3" s="25"/>
      <c r="B3" s="25"/>
      <c r="C3" s="25"/>
    </row>
    <row r="4" spans="1:8">
      <c r="A4" s="25"/>
      <c r="B4" s="25"/>
      <c r="C4" s="25"/>
    </row>
    <row r="7" spans="1:8">
      <c r="A7" s="8" t="s">
        <v>1</v>
      </c>
      <c r="B7" s="8" t="str" cm="1">
        <f t="array" ref="B7">_xlfn.TEXTJOIN(" ",TRUE,
    _xlfn.MAP(_xlfn.TEXTSPLIT(A7," "),
        _xlfn.LAMBDA(_xlpm.x, TEXT(DEC2BIN(HEX2DEC(_xlpm.x)), "00000000"))
    )
)</f>
        <v>00000001 00010000 11110100 00000101 10101000 01000000</v>
      </c>
    </row>
    <row r="8" spans="1:8">
      <c r="C8" s="13" t="s">
        <v>2</v>
      </c>
      <c r="D8" s="9" t="s">
        <v>3</v>
      </c>
      <c r="E8" s="10" t="s">
        <v>4</v>
      </c>
      <c r="F8" s="10" t="s">
        <v>5</v>
      </c>
      <c r="G8" s="10" t="s">
        <v>6</v>
      </c>
      <c r="H8" s="10" t="s">
        <v>7</v>
      </c>
    </row>
    <row r="9" spans="1:8" s="7" customFormat="1">
      <c r="C9" s="7">
        <v>1</v>
      </c>
      <c r="D9" s="12" t="s">
        <v>8</v>
      </c>
      <c r="E9" s="17">
        <f>BIN2DEC(G9)</f>
        <v>0</v>
      </c>
      <c r="F9" s="7">
        <v>1</v>
      </c>
      <c r="G9" s="7" t="str">
        <f>MID(SUBSTITUTE(B7," ",""), F9, C9)</f>
        <v>0</v>
      </c>
    </row>
    <row r="10" spans="1:8" s="7" customFormat="1">
      <c r="C10" s="7">
        <v>16</v>
      </c>
      <c r="D10" s="12" t="s">
        <v>9</v>
      </c>
      <c r="E10" s="17" cm="1">
        <f t="array" aca="1" ref="E10" ca="1">SUMPRODUCT(MID(G10, LEN(G10)-ROW(INDIRECT("1:"&amp;LEN(G10)))+1, 1) * 2^(ROW(INDIRECT("1:"&amp;LEN(G10)))-1))</f>
        <v>545</v>
      </c>
      <c r="F10" s="7">
        <f>SUM($C$9:C10)-C10+1</f>
        <v>2</v>
      </c>
      <c r="G10" s="7" t="str">
        <f>MID(SUBSTITUTE(B7," ",""), F10, C10)</f>
        <v>0000001000100001</v>
      </c>
      <c r="H10" s="17" t="str">
        <f ca="1">DEC2HEX(E10)</f>
        <v>221</v>
      </c>
    </row>
    <row r="11" spans="1:8" s="7" customFormat="1">
      <c r="C11" s="16">
        <v>2</v>
      </c>
      <c r="D11" s="12" t="s">
        <v>10</v>
      </c>
      <c r="E11" s="17">
        <f>BIN2DEC(G11)</f>
        <v>3</v>
      </c>
      <c r="F11" s="7">
        <f>SUM($C$9:C11)-C11+1</f>
        <v>18</v>
      </c>
      <c r="G11" s="7" t="str">
        <f>MID(SUBSTITUTE(B7," ",""), F11, C11)</f>
        <v>11</v>
      </c>
    </row>
    <row r="12" spans="1:8">
      <c r="C12" s="8">
        <v>5</v>
      </c>
      <c r="D12" s="11" t="s">
        <v>11</v>
      </c>
      <c r="E12" s="18">
        <f>BIN2DEC(G12)</f>
        <v>20</v>
      </c>
      <c r="F12" s="8">
        <f>SUM($C$9:C12)-C12+1</f>
        <v>20</v>
      </c>
      <c r="G12" s="8" t="str">
        <f>MID(SUBSTITUTE(B7," ",""), F12, C12)</f>
        <v>10100</v>
      </c>
    </row>
    <row r="13" spans="1:8">
      <c r="C13" s="8">
        <v>1</v>
      </c>
      <c r="D13" s="11" t="s">
        <v>12</v>
      </c>
      <c r="E13" s="18">
        <f>BIN2DEC(G13)</f>
        <v>0</v>
      </c>
      <c r="F13" s="8">
        <f>SUM($C$9:C13)-C13+1</f>
        <v>25</v>
      </c>
      <c r="G13" s="8" t="str">
        <f>MID(SUBSTITUTE(B7," ",""), F13, C13)</f>
        <v>0</v>
      </c>
    </row>
    <row r="14" spans="1:8">
      <c r="C14" s="8">
        <v>2</v>
      </c>
      <c r="D14" s="11" t="s">
        <v>13</v>
      </c>
      <c r="E14" s="18">
        <f>BIN2DEC(G14)</f>
        <v>0</v>
      </c>
      <c r="F14" s="8">
        <f>SUM($C$9:C14)-C14+1</f>
        <v>26</v>
      </c>
      <c r="G14" s="8" t="str">
        <f>MID(SUBSTITUTE(B7," ",""), F14, C14)</f>
        <v>00</v>
      </c>
    </row>
    <row r="15" spans="1:8">
      <c r="C15" s="8">
        <v>4</v>
      </c>
      <c r="D15" s="11" t="s">
        <v>14</v>
      </c>
      <c r="E15" s="18">
        <f>BIN2DEC(G15)</f>
        <v>2</v>
      </c>
      <c r="F15" s="8">
        <f>SUM($C$9:C15)-C15+1</f>
        <v>28</v>
      </c>
      <c r="G15" s="8" t="str">
        <f>MID(SUBSTITUTE(B7," ",""), F15, C15)</f>
        <v>0010</v>
      </c>
    </row>
    <row r="16" spans="1:8">
      <c r="C16" s="8">
        <v>2</v>
      </c>
      <c r="D16" s="11" t="s">
        <v>15</v>
      </c>
      <c r="E16" s="18">
        <f>BIN2DEC(G16)</f>
        <v>3</v>
      </c>
      <c r="F16" s="8">
        <f>SUM($C$9:C16)-C16+1</f>
        <v>32</v>
      </c>
      <c r="G16" s="8" t="str">
        <f>MID(SUBSTITUTE(B7," ",""), F16, C16)</f>
        <v>11</v>
      </c>
    </row>
    <row r="17" spans="2:7">
      <c r="C17" s="8">
        <v>2</v>
      </c>
      <c r="D17" s="11" t="s">
        <v>16</v>
      </c>
      <c r="E17" s="18">
        <f>BIN2DEC(G17)</f>
        <v>1</v>
      </c>
      <c r="F17" s="8">
        <f>SUM($C$9:C17)-C17+1</f>
        <v>34</v>
      </c>
      <c r="G17" s="8" t="str">
        <f>MID(SUBSTITUTE(B7," ",""), F17, C17)</f>
        <v>01</v>
      </c>
    </row>
    <row r="18" spans="2:7">
      <c r="C18" s="8">
        <v>3</v>
      </c>
      <c r="D18" s="11" t="s">
        <v>17</v>
      </c>
      <c r="E18" s="18">
        <f>BIN2DEC(G18)</f>
        <v>2</v>
      </c>
      <c r="F18" s="8">
        <f>SUM($C$9:C18)-C18+1</f>
        <v>36</v>
      </c>
      <c r="G18" s="8" t="str">
        <f>MID(SUBSTITUTE(B7," ",""), F18, C18)</f>
        <v>010</v>
      </c>
    </row>
    <row r="19" spans="2:7">
      <c r="C19" s="8">
        <v>2</v>
      </c>
      <c r="D19" s="11" t="s">
        <v>18</v>
      </c>
      <c r="E19" s="18">
        <f>BIN2DEC(G19)</f>
        <v>0</v>
      </c>
      <c r="F19" s="8">
        <f>SUM($C$9:C19)-C19+1</f>
        <v>39</v>
      </c>
      <c r="G19" s="8" t="str">
        <f>MID(SUBSTITUTE(B7," ",""), F19, C19)</f>
        <v>00</v>
      </c>
    </row>
    <row r="20" spans="2:7">
      <c r="C20" s="8">
        <v>1</v>
      </c>
      <c r="D20" s="11" t="s">
        <v>19</v>
      </c>
      <c r="E20" s="18">
        <f>BIN2DEC(G20)</f>
        <v>0</v>
      </c>
      <c r="F20" s="8">
        <f>SUM($C$9:C20)-C20+1</f>
        <v>41</v>
      </c>
      <c r="G20" s="8" t="str">
        <f>MID(SUBSTITUTE(B7," ",""), F20, C20)</f>
        <v>0</v>
      </c>
    </row>
    <row r="21" spans="2:7">
      <c r="C21" s="8">
        <v>1</v>
      </c>
      <c r="D21" s="11" t="s">
        <v>20</v>
      </c>
      <c r="E21" s="18">
        <f>BIN2DEC(G21)</f>
        <v>1</v>
      </c>
      <c r="F21" s="8">
        <f>SUM($C$9:C21)-C21+1</f>
        <v>42</v>
      </c>
      <c r="G21" s="8" t="str">
        <f>MID(SUBSTITUTE(B7," ",""), F21, C21)</f>
        <v>1</v>
      </c>
    </row>
    <row r="22" spans="2:7">
      <c r="B22" s="13" t="s">
        <v>21</v>
      </c>
      <c r="C22" s="14">
        <f>SUM(C8:C21)</f>
        <v>42</v>
      </c>
      <c r="D22" s="15"/>
      <c r="E22" s="10"/>
    </row>
  </sheetData>
  <mergeCells count="1">
    <mergeCell ref="A1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C210-F5DD-473B-B4A1-15002389BCA8}">
  <dimension ref="A1:H23"/>
  <sheetViews>
    <sheetView workbookViewId="0">
      <selection activeCell="D22" sqref="D22"/>
    </sheetView>
  </sheetViews>
  <sheetFormatPr defaultColWidth="43.42578125" defaultRowHeight="15"/>
  <cols>
    <col min="1" max="1" width="17.28515625" style="8" customWidth="1"/>
    <col min="2" max="2" width="63.28515625" style="8" customWidth="1"/>
    <col min="3" max="3" width="43.42578125" style="8"/>
    <col min="4" max="4" width="32" style="8" customWidth="1"/>
    <col min="5" max="5" width="18.5703125" style="8" customWidth="1"/>
    <col min="6" max="6" width="19.28515625" style="8" customWidth="1"/>
    <col min="7" max="7" width="21.85546875" style="8" customWidth="1"/>
    <col min="8" max="8" width="13.42578125" style="8" customWidth="1"/>
    <col min="9" max="16384" width="43.42578125" style="8"/>
  </cols>
  <sheetData>
    <row r="1" spans="1:8">
      <c r="A1" s="24" t="s">
        <v>22</v>
      </c>
      <c r="B1" s="25"/>
      <c r="C1" s="25"/>
    </row>
    <row r="2" spans="1:8">
      <c r="A2" s="25"/>
      <c r="B2" s="25"/>
      <c r="C2" s="25"/>
    </row>
    <row r="3" spans="1:8">
      <c r="A3" s="25"/>
      <c r="B3" s="25"/>
      <c r="C3" s="25"/>
    </row>
    <row r="4" spans="1:8">
      <c r="A4" s="25"/>
      <c r="B4" s="25"/>
      <c r="C4" s="25"/>
    </row>
    <row r="7" spans="1:8">
      <c r="A7" s="8" t="s">
        <v>1</v>
      </c>
      <c r="B7" s="8" t="str" cm="1">
        <f t="array" ref="B7">_xlfn.TEXTJOIN(" ",TRUE,
    _xlfn.MAP(_xlfn.TEXTSPLIT(A7," "),
        _xlfn.LAMBDA(_xlpm.x, TEXT(DEC2BIN(HEX2DEC(_xlpm.x)), "00000000"))
    )
)</f>
        <v>00000001 00010000 11110100 00000101 10101000 01000000</v>
      </c>
    </row>
    <row r="8" spans="1:8">
      <c r="C8" s="13" t="s">
        <v>2</v>
      </c>
      <c r="D8" s="9" t="s">
        <v>3</v>
      </c>
      <c r="E8" s="10" t="s">
        <v>4</v>
      </c>
      <c r="F8" s="10" t="s">
        <v>5</v>
      </c>
      <c r="G8" s="10" t="s">
        <v>6</v>
      </c>
      <c r="H8" s="10" t="s">
        <v>7</v>
      </c>
    </row>
    <row r="9" spans="1:8" s="2" customFormat="1">
      <c r="C9" s="2">
        <v>1</v>
      </c>
      <c r="D9" s="21" t="s">
        <v>23</v>
      </c>
      <c r="E9" s="19">
        <f>BIN2DEC(G9)</f>
        <v>0</v>
      </c>
      <c r="F9" s="2">
        <v>1</v>
      </c>
      <c r="G9" s="2" t="str">
        <f>MID(SUBSTITUTE(B7," ",""), F9, C9)</f>
        <v>0</v>
      </c>
    </row>
    <row r="10" spans="1:8" s="2" customFormat="1">
      <c r="C10" s="2">
        <v>16</v>
      </c>
      <c r="D10" s="21" t="s">
        <v>24</v>
      </c>
      <c r="E10" s="19" cm="1">
        <f t="array" aca="1" ref="E10" ca="1">SUMPRODUCT(MID(G10, LEN(G10)-ROW(INDIRECT("1:"&amp;LEN(G10)))+1, 1) * 2^(ROW(INDIRECT("1:"&amp;LEN(G10)))-1))</f>
        <v>545</v>
      </c>
      <c r="F10" s="2">
        <f>SUM($C$9:C10)-C10+1</f>
        <v>2</v>
      </c>
      <c r="G10" s="2" t="str">
        <f>MID(SUBSTITUTE(B7," ",""), F10, C10)</f>
        <v>0000001000100001</v>
      </c>
      <c r="H10" s="19" t="str">
        <f ca="1">DEC2HEX(E10)</f>
        <v>221</v>
      </c>
    </row>
    <row r="11" spans="1:8" s="2" customFormat="1">
      <c r="C11" s="20">
        <v>2</v>
      </c>
      <c r="D11" s="21" t="s">
        <v>25</v>
      </c>
      <c r="E11" s="19">
        <f>BIN2DEC(G11)</f>
        <v>3</v>
      </c>
      <c r="F11" s="2">
        <f>SUM($C$9:C11)-C11+1</f>
        <v>18</v>
      </c>
      <c r="G11" s="2" t="str">
        <f>MID(SUBSTITUTE(B7," ",""), F11, C11)</f>
        <v>11</v>
      </c>
    </row>
    <row r="12" spans="1:8" s="2" customFormat="1">
      <c r="C12" s="2">
        <v>5</v>
      </c>
      <c r="D12" s="21" t="s">
        <v>26</v>
      </c>
      <c r="E12" s="19">
        <f>BIN2DEC(G12)</f>
        <v>20</v>
      </c>
      <c r="F12" s="2">
        <f>SUM($C$9:C12)-C12+1</f>
        <v>20</v>
      </c>
      <c r="G12" s="2" t="str">
        <f>MID(SUBSTITUTE(B7," ",""), F12, C12)</f>
        <v>10100</v>
      </c>
    </row>
    <row r="13" spans="1:8" s="2" customFormat="1">
      <c r="C13" s="2">
        <v>1</v>
      </c>
      <c r="D13" s="21" t="s">
        <v>27</v>
      </c>
      <c r="E13" s="19">
        <f>BIN2DEC(G13)</f>
        <v>0</v>
      </c>
      <c r="F13" s="2">
        <f>SUM($C$9:C13)-C13+1</f>
        <v>25</v>
      </c>
      <c r="G13" s="2" t="str">
        <f>MID(SUBSTITUTE(B7," ",""), F13, C13)</f>
        <v>0</v>
      </c>
    </row>
    <row r="14" spans="1:8">
      <c r="C14" s="8">
        <v>2</v>
      </c>
      <c r="D14" s="22" t="s">
        <v>28</v>
      </c>
      <c r="E14" s="18">
        <f>BIN2DEC(G14)</f>
        <v>0</v>
      </c>
      <c r="F14" s="8">
        <f>SUM($C$9:C14)-C14+1</f>
        <v>26</v>
      </c>
      <c r="G14" s="8" t="str">
        <f>MID(SUBSTITUTE(B7," ",""), F14, C14)</f>
        <v>00</v>
      </c>
    </row>
    <row r="15" spans="1:8">
      <c r="C15" s="8">
        <v>4</v>
      </c>
      <c r="D15" s="22" t="s">
        <v>29</v>
      </c>
      <c r="E15" s="18">
        <f>BIN2DEC(G15)</f>
        <v>2</v>
      </c>
      <c r="F15" s="8">
        <f>SUM($C$9:C15)-C15+1</f>
        <v>28</v>
      </c>
      <c r="G15" s="8" t="str">
        <f>MID(SUBSTITUTE(B7," ",""), F15, C15)</f>
        <v>0010</v>
      </c>
    </row>
    <row r="16" spans="1:8">
      <c r="C16" s="8">
        <v>2</v>
      </c>
      <c r="D16" s="22" t="s">
        <v>30</v>
      </c>
      <c r="E16" s="18">
        <f>BIN2DEC(G16)</f>
        <v>3</v>
      </c>
      <c r="F16" s="8">
        <f>SUM($C$9:C16)-C16+1</f>
        <v>32</v>
      </c>
      <c r="G16" s="8" t="str">
        <f>MID(SUBSTITUTE(B7," ",""), F16, C16)</f>
        <v>11</v>
      </c>
    </row>
    <row r="17" spans="2:7">
      <c r="C17" s="8">
        <v>2</v>
      </c>
      <c r="D17" s="22" t="s">
        <v>31</v>
      </c>
      <c r="E17" s="18">
        <f>BIN2DEC(G17)</f>
        <v>1</v>
      </c>
      <c r="F17" s="8">
        <f>SUM($C$9:C17)-C17+1</f>
        <v>34</v>
      </c>
      <c r="G17" s="8" t="str">
        <f>MID(SUBSTITUTE(B7," ",""), F17, C17)</f>
        <v>01</v>
      </c>
    </row>
    <row r="18" spans="2:7">
      <c r="C18" s="8">
        <v>3</v>
      </c>
      <c r="D18" s="22" t="s">
        <v>32</v>
      </c>
      <c r="E18" s="18">
        <f>BIN2DEC(G18)</f>
        <v>2</v>
      </c>
      <c r="F18" s="8">
        <f>SUM($C$9:C18)-C18+1</f>
        <v>36</v>
      </c>
      <c r="G18" s="8" t="str">
        <f>MID(SUBSTITUTE(B7," ",""), F18, C18)</f>
        <v>010</v>
      </c>
    </row>
    <row r="19" spans="2:7">
      <c r="C19" s="8">
        <v>3</v>
      </c>
      <c r="D19" s="22" t="s">
        <v>33</v>
      </c>
      <c r="E19" s="18">
        <f>BIN2DEC(G19)</f>
        <v>0</v>
      </c>
      <c r="F19" s="8">
        <f>SUM($C$9:C19)-C19+1</f>
        <v>39</v>
      </c>
      <c r="G19" s="8" t="str">
        <f>MID(SUBSTITUTE(B7," ",""), F19, C19)</f>
        <v>000</v>
      </c>
    </row>
    <row r="20" spans="2:7">
      <c r="C20" s="8">
        <v>4</v>
      </c>
      <c r="D20" s="22" t="s">
        <v>34</v>
      </c>
      <c r="E20" s="18">
        <f>BIN2DEC(G20)</f>
        <v>8</v>
      </c>
      <c r="F20" s="8">
        <f>SUM($C$9:C20)-C20+1</f>
        <v>42</v>
      </c>
      <c r="G20" s="8" t="str">
        <f>MID(SUBSTITUTE(B7," ",""), F20, C20)</f>
        <v>1000</v>
      </c>
    </row>
    <row r="21" spans="2:7">
      <c r="C21" s="8">
        <v>2</v>
      </c>
      <c r="D21" s="22" t="s">
        <v>35</v>
      </c>
      <c r="E21" s="18">
        <f t="shared" ref="E21:E22" si="0">BIN2DEC(G21)</f>
        <v>0</v>
      </c>
      <c r="F21" s="8">
        <f>SUM($C$9:C21)-C21+1</f>
        <v>46</v>
      </c>
      <c r="G21" s="8" t="str">
        <f>MID(SUBSTITUTE(B7," ",""), F21, C21)</f>
        <v>00</v>
      </c>
    </row>
    <row r="22" spans="2:7">
      <c r="C22" s="8">
        <v>1</v>
      </c>
      <c r="D22" s="23" t="s">
        <v>36</v>
      </c>
      <c r="E22" s="18">
        <f t="shared" si="0"/>
        <v>0</v>
      </c>
      <c r="F22" s="8">
        <f>SUM($C$9:C22)-C22+1</f>
        <v>48</v>
      </c>
      <c r="G22" s="8" t="str">
        <f>MID(SUBSTITUTE(B7," ",""), F22, C22)</f>
        <v>0</v>
      </c>
    </row>
    <row r="23" spans="2:7">
      <c r="B23" s="13" t="s">
        <v>21</v>
      </c>
      <c r="C23" s="14">
        <f>SUM(C9:C22)</f>
        <v>48</v>
      </c>
    </row>
  </sheetData>
  <mergeCells count="1">
    <mergeCell ref="A1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B699-34B4-4496-A51A-FF88B7057C69}">
  <dimension ref="C3:F29"/>
  <sheetViews>
    <sheetView tabSelected="1" topLeftCell="A16" workbookViewId="0">
      <selection activeCell="C33" sqref="C33"/>
    </sheetView>
  </sheetViews>
  <sheetFormatPr defaultRowHeight="15"/>
  <cols>
    <col min="3" max="3" width="53.85546875" customWidth="1"/>
    <col min="4" max="4" width="18.28515625" bestFit="1" customWidth="1"/>
    <col min="5" max="5" width="50.42578125" customWidth="1"/>
    <col min="6" max="6" width="28.5703125" style="2" customWidth="1"/>
    <col min="7" max="7" width="10" customWidth="1"/>
  </cols>
  <sheetData>
    <row r="3" spans="3:6" ht="30.75">
      <c r="C3" s="3" t="s">
        <v>37</v>
      </c>
      <c r="D3" t="s">
        <v>38</v>
      </c>
      <c r="E3" s="5" t="s">
        <v>38</v>
      </c>
      <c r="F3" s="1" t="s">
        <v>39</v>
      </c>
    </row>
    <row r="4" spans="3:6">
      <c r="C4" s="4" t="s">
        <v>40</v>
      </c>
      <c r="D4" t="s">
        <v>38</v>
      </c>
      <c r="E4" s="5" t="s">
        <v>41</v>
      </c>
      <c r="F4" s="2">
        <v>1</v>
      </c>
    </row>
    <row r="5" spans="3:6">
      <c r="C5" s="5" t="s">
        <v>42</v>
      </c>
      <c r="D5" t="s">
        <v>38</v>
      </c>
      <c r="E5" s="5" t="s">
        <v>43</v>
      </c>
      <c r="F5" s="2">
        <v>0</v>
      </c>
    </row>
    <row r="6" spans="3:6">
      <c r="C6" s="5" t="s">
        <v>44</v>
      </c>
      <c r="D6" t="s">
        <v>38</v>
      </c>
      <c r="E6" s="5" t="s">
        <v>45</v>
      </c>
      <c r="F6" s="2">
        <v>0</v>
      </c>
    </row>
    <row r="7" spans="3:6" ht="30.75">
      <c r="C7" s="5" t="s">
        <v>46</v>
      </c>
      <c r="D7" t="s">
        <v>38</v>
      </c>
      <c r="E7" s="5" t="s">
        <v>47</v>
      </c>
      <c r="F7" s="2">
        <v>0</v>
      </c>
    </row>
    <row r="8" spans="3:6" ht="30.75">
      <c r="C8" s="5" t="s">
        <v>48</v>
      </c>
      <c r="D8" t="s">
        <v>49</v>
      </c>
      <c r="E8" s="5" t="s">
        <v>50</v>
      </c>
      <c r="F8" s="2">
        <v>16</v>
      </c>
    </row>
    <row r="9" spans="3:6" ht="30.75">
      <c r="C9" s="5" t="s">
        <v>51</v>
      </c>
      <c r="D9" t="s">
        <v>52</v>
      </c>
      <c r="E9" s="5" t="s">
        <v>53</v>
      </c>
      <c r="F9" s="2">
        <v>2</v>
      </c>
    </row>
    <row r="10" spans="3:6">
      <c r="C10" s="5" t="s">
        <v>54</v>
      </c>
      <c r="D10" t="s">
        <v>38</v>
      </c>
      <c r="E10" s="5" t="s">
        <v>55</v>
      </c>
      <c r="F10" s="2">
        <v>0</v>
      </c>
    </row>
    <row r="11" spans="3:6">
      <c r="C11" s="5" t="s">
        <v>56</v>
      </c>
      <c r="D11" t="s">
        <v>57</v>
      </c>
      <c r="E11" s="5" t="s">
        <v>58</v>
      </c>
      <c r="F11" s="2">
        <v>5</v>
      </c>
    </row>
    <row r="12" spans="3:6">
      <c r="C12" s="5" t="s">
        <v>59</v>
      </c>
      <c r="D12" t="s">
        <v>60</v>
      </c>
      <c r="E12" s="5" t="s">
        <v>61</v>
      </c>
      <c r="F12" s="2">
        <v>1</v>
      </c>
    </row>
    <row r="13" spans="3:6">
      <c r="C13" s="5" t="s">
        <v>62</v>
      </c>
      <c r="D13" t="s">
        <v>63</v>
      </c>
      <c r="E13" s="5" t="s">
        <v>64</v>
      </c>
      <c r="F13" s="2">
        <v>2</v>
      </c>
    </row>
    <row r="14" spans="3:6">
      <c r="C14" s="5" t="s">
        <v>65</v>
      </c>
      <c r="D14" t="s">
        <v>66</v>
      </c>
      <c r="E14" s="5" t="s">
        <v>67</v>
      </c>
      <c r="F14" s="2">
        <v>4</v>
      </c>
    </row>
    <row r="15" spans="3:6">
      <c r="C15" s="5" t="s">
        <v>68</v>
      </c>
      <c r="D15" t="s">
        <v>69</v>
      </c>
      <c r="E15" s="5" t="s">
        <v>70</v>
      </c>
      <c r="F15" s="2">
        <v>2</v>
      </c>
    </row>
    <row r="16" spans="3:6">
      <c r="C16" s="5" t="s">
        <v>71</v>
      </c>
      <c r="D16" t="s">
        <v>38</v>
      </c>
      <c r="E16" s="5" t="s">
        <v>72</v>
      </c>
      <c r="F16" s="2">
        <v>0</v>
      </c>
    </row>
    <row r="17" spans="3:6">
      <c r="C17" s="5" t="s">
        <v>73</v>
      </c>
      <c r="D17" t="s">
        <v>74</v>
      </c>
      <c r="E17" s="5" t="s">
        <v>75</v>
      </c>
      <c r="F17" s="2">
        <v>2</v>
      </c>
    </row>
    <row r="18" spans="3:6">
      <c r="C18" s="5" t="s">
        <v>76</v>
      </c>
      <c r="D18" t="s">
        <v>38</v>
      </c>
      <c r="E18" s="5" t="s">
        <v>77</v>
      </c>
      <c r="F18" s="2">
        <v>0</v>
      </c>
    </row>
    <row r="19" spans="3:6" ht="30.75">
      <c r="C19" s="5" t="s">
        <v>78</v>
      </c>
      <c r="D19" t="s">
        <v>38</v>
      </c>
      <c r="E19" s="5" t="s">
        <v>79</v>
      </c>
      <c r="F19" s="2">
        <v>0</v>
      </c>
    </row>
    <row r="20" spans="3:6" ht="30.75">
      <c r="C20" s="5" t="s">
        <v>80</v>
      </c>
      <c r="D20" t="s">
        <v>81</v>
      </c>
      <c r="E20" s="5" t="s">
        <v>82</v>
      </c>
      <c r="F20" s="2">
        <v>3</v>
      </c>
    </row>
    <row r="21" spans="3:6">
      <c r="C21" s="5" t="s">
        <v>83</v>
      </c>
      <c r="D21" t="s">
        <v>84</v>
      </c>
      <c r="E21" s="5" t="s">
        <v>85</v>
      </c>
      <c r="F21" s="2">
        <v>2</v>
      </c>
    </row>
    <row r="22" spans="3:6">
      <c r="C22" s="5" t="s">
        <v>86</v>
      </c>
      <c r="D22" t="s">
        <v>38</v>
      </c>
      <c r="E22" s="5" t="s">
        <v>87</v>
      </c>
      <c r="F22" s="2">
        <v>0</v>
      </c>
    </row>
    <row r="23" spans="3:6">
      <c r="C23" s="5" t="s">
        <v>88</v>
      </c>
      <c r="D23" t="s">
        <v>38</v>
      </c>
      <c r="E23" s="5" t="s">
        <v>89</v>
      </c>
      <c r="F23" s="2">
        <v>0</v>
      </c>
    </row>
    <row r="24" spans="3:6">
      <c r="C24" s="5" t="s">
        <v>90</v>
      </c>
      <c r="D24" t="s">
        <v>38</v>
      </c>
      <c r="E24" s="5" t="s">
        <v>91</v>
      </c>
      <c r="F24" s="2">
        <v>0</v>
      </c>
    </row>
    <row r="25" spans="3:6" ht="30.75">
      <c r="C25" s="5" t="s">
        <v>92</v>
      </c>
      <c r="D25" t="s">
        <v>38</v>
      </c>
      <c r="E25" s="5" t="s">
        <v>93</v>
      </c>
      <c r="F25" s="2">
        <v>0</v>
      </c>
    </row>
    <row r="26" spans="3:6" ht="45.75">
      <c r="C26" s="5" t="s">
        <v>94</v>
      </c>
      <c r="D26" t="s">
        <v>95</v>
      </c>
      <c r="E26" s="5" t="s">
        <v>96</v>
      </c>
      <c r="F26" s="2">
        <v>1</v>
      </c>
    </row>
    <row r="27" spans="3:6">
      <c r="C27" s="5" t="s">
        <v>97</v>
      </c>
      <c r="D27" t="s">
        <v>98</v>
      </c>
      <c r="E27" s="5" t="s">
        <v>99</v>
      </c>
      <c r="F27" s="2">
        <v>1</v>
      </c>
    </row>
    <row r="28" spans="3:6">
      <c r="C28" s="5"/>
      <c r="E28" s="5"/>
    </row>
    <row r="29" spans="3:6">
      <c r="C29" s="5" t="s">
        <v>38</v>
      </c>
      <c r="D29" t="s">
        <v>38</v>
      </c>
      <c r="E29" s="6" t="s">
        <v>100</v>
      </c>
      <c r="F29" s="1">
        <f>SUM(F4:F27)</f>
        <v>42</v>
      </c>
    </row>
  </sheetData>
  <autoFilter ref="C3:H29" xr:uid="{1948B699-34B4-4496-A51A-FF88B7057C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Devendra Reddy Velpucharla</cp:lastModifiedBy>
  <cp:revision/>
  <dcterms:created xsi:type="dcterms:W3CDTF">2025-12-04T09:30:20Z</dcterms:created>
  <dcterms:modified xsi:type="dcterms:W3CDTF">2025-12-22T10:44:10Z</dcterms:modified>
  <cp:category/>
  <cp:contentStatus/>
</cp:coreProperties>
</file>